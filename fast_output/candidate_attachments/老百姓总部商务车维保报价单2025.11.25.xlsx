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工作文件\2025年\20251022 吴彩云 集团总部商务车维修保养\"/>
    </mc:Choice>
  </mc:AlternateContent>
  <xr:revisionPtr revIDLastSave="0" documentId="13_ncr:1_{02EAF217-DADA-41FB-84CC-D0B928B54E6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01常规保养报价单" sheetId="2" r:id="rId1"/>
    <sheet name="02其他保养报价单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I34" i="2"/>
  <c r="J34" i="2"/>
  <c r="K34" i="2"/>
  <c r="G34" i="2"/>
  <c r="H31" i="2"/>
  <c r="I31" i="2"/>
  <c r="J31" i="2"/>
  <c r="K31" i="2"/>
  <c r="G31" i="2"/>
  <c r="H28" i="2"/>
  <c r="I28" i="2"/>
  <c r="J28" i="2"/>
  <c r="K28" i="2"/>
  <c r="G28" i="2"/>
  <c r="H25" i="2"/>
  <c r="I25" i="2"/>
  <c r="J25" i="2"/>
  <c r="K25" i="2"/>
  <c r="G25" i="2"/>
  <c r="H22" i="2"/>
  <c r="I22" i="2"/>
  <c r="J22" i="2"/>
  <c r="K22" i="2"/>
  <c r="G22" i="2"/>
  <c r="I19" i="2"/>
  <c r="J19" i="2"/>
  <c r="K19" i="2"/>
  <c r="H19" i="2"/>
  <c r="G19" i="2"/>
</calcChain>
</file>

<file path=xl/sharedStrings.xml><?xml version="1.0" encoding="utf-8"?>
<sst xmlns="http://schemas.openxmlformats.org/spreadsheetml/2006/main" count="197" uniqueCount="100">
  <si>
    <t>序号</t>
  </si>
  <si>
    <t>保养类型</t>
  </si>
  <si>
    <t>项目</t>
  </si>
  <si>
    <t>品牌</t>
  </si>
  <si>
    <t>单位</t>
  </si>
  <si>
    <t>常规保养</t>
  </si>
  <si>
    <t>机油</t>
  </si>
  <si>
    <t>需求量</t>
  </si>
  <si>
    <t>L</t>
  </si>
  <si>
    <t>机油滤清器</t>
  </si>
  <si>
    <t>原厂配件</t>
  </si>
  <si>
    <t>空气滤芯</t>
  </si>
  <si>
    <t>空调滤芯</t>
  </si>
  <si>
    <t>发动机清洗剂</t>
  </si>
  <si>
    <t>发动机保护剂</t>
  </si>
  <si>
    <t>工时费</t>
  </si>
  <si>
    <t>常规保养项所需工时费</t>
  </si>
  <si>
    <t>元</t>
  </si>
  <si>
    <t>大保养</t>
  </si>
  <si>
    <t>刹车油</t>
  </si>
  <si>
    <t>防冻液</t>
  </si>
  <si>
    <t>发电机皮带</t>
  </si>
  <si>
    <t>水箱</t>
  </si>
  <si>
    <t>尾灯总成</t>
  </si>
  <si>
    <t>下悬臂</t>
  </si>
  <si>
    <t>氧传感器</t>
  </si>
  <si>
    <t>电瓶</t>
  </si>
  <si>
    <t>刹车片</t>
  </si>
  <si>
    <t>减震器</t>
  </si>
  <si>
    <t>轮胎</t>
  </si>
  <si>
    <t>普利司通</t>
  </si>
  <si>
    <t>老百姓商务车维保报价单</t>
    <phoneticPr fontId="2" type="noConversion"/>
  </si>
  <si>
    <t>报价单位：</t>
    <phoneticPr fontId="2" type="noConversion"/>
  </si>
  <si>
    <t>报价时间：</t>
    <phoneticPr fontId="2" type="noConversion"/>
  </si>
  <si>
    <t>报价单位地址：</t>
    <phoneticPr fontId="2" type="noConversion"/>
  </si>
  <si>
    <t>丰田阿尔法</t>
  </si>
  <si>
    <t>报价单位简介：（维保人员数量、月度维保车辆大致数量、占地面积、擅长维修的车辆品牌、型号等）</t>
    <phoneticPr fontId="2" type="noConversion"/>
  </si>
  <si>
    <t>品牌型号</t>
    <phoneticPr fontId="2" type="noConversion"/>
  </si>
  <si>
    <t>别克牌SGM6522UBA6</t>
    <phoneticPr fontId="2" type="noConversion"/>
  </si>
  <si>
    <t>车辆信息：</t>
    <phoneticPr fontId="2" type="noConversion"/>
  </si>
  <si>
    <t>车辆识别代号</t>
    <phoneticPr fontId="2" type="noConversion"/>
  </si>
  <si>
    <t>注册日期</t>
    <phoneticPr fontId="2" type="noConversion"/>
  </si>
  <si>
    <t>序号</t>
    <phoneticPr fontId="2" type="noConversion"/>
  </si>
  <si>
    <t>LSGUL83L9LA266276</t>
    <phoneticPr fontId="2" type="noConversion"/>
  </si>
  <si>
    <t>别克牌SGM6522UAA1</t>
    <phoneticPr fontId="2" type="noConversion"/>
  </si>
  <si>
    <t>LSGUL83L0HA120002</t>
    <phoneticPr fontId="2" type="noConversion"/>
  </si>
  <si>
    <t>别克牌SGM6531UAAF</t>
    <phoneticPr fontId="2" type="noConversion"/>
  </si>
  <si>
    <t xml:space="preserve">
LSGUA8278HE019227</t>
    <phoneticPr fontId="2" type="noConversion"/>
  </si>
  <si>
    <t>埃尔法3456CC小客车JTEG</t>
    <phoneticPr fontId="2" type="noConversion"/>
  </si>
  <si>
    <t>JTEGS21H3E8093318</t>
    <phoneticPr fontId="2" type="noConversion"/>
  </si>
  <si>
    <t>LFMEA5813PS002690</t>
    <phoneticPr fontId="2" type="noConversion"/>
  </si>
  <si>
    <t>钧天牌JF5060XSW53LE</t>
    <phoneticPr fontId="2" type="noConversion"/>
  </si>
  <si>
    <t>柯斯达牌SCT6704GRB53LE</t>
    <phoneticPr fontId="2" type="noConversion"/>
  </si>
  <si>
    <t>LFME55815DS003730</t>
    <phoneticPr fontId="2" type="noConversion"/>
  </si>
  <si>
    <t>比亚迪牌BY06110HLEV2</t>
    <phoneticPr fontId="2" type="noConversion"/>
  </si>
  <si>
    <t>/</t>
    <phoneticPr fontId="2" type="noConversion"/>
  </si>
  <si>
    <t>2019/11/27(5台车一样）</t>
    <phoneticPr fontId="2" type="noConversion"/>
  </si>
  <si>
    <r>
      <t>备注：以上报价为含税价，开具增值税</t>
    </r>
    <r>
      <rPr>
        <u/>
        <sz val="10"/>
        <color theme="1"/>
        <rFont val="宋体"/>
        <family val="3"/>
        <charset val="134"/>
      </rPr>
      <t xml:space="preserve">     </t>
    </r>
    <r>
      <rPr>
        <sz val="10"/>
        <color theme="1"/>
        <rFont val="宋体"/>
        <family val="3"/>
        <charset val="134"/>
      </rPr>
      <t>（填写专用或者普通）发票，税率为</t>
    </r>
    <r>
      <rPr>
        <u/>
        <sz val="10"/>
        <color theme="1"/>
        <rFont val="宋体"/>
        <family val="3"/>
        <charset val="134"/>
      </rPr>
      <t xml:space="preserve">     </t>
    </r>
    <r>
      <rPr>
        <sz val="10"/>
        <color theme="1"/>
        <rFont val="宋体"/>
        <family val="3"/>
        <charset val="134"/>
      </rPr>
      <t>%。</t>
    </r>
    <phoneticPr fontId="2" type="noConversion"/>
  </si>
  <si>
    <t>小计（元）</t>
    <phoneticPr fontId="2" type="noConversion"/>
  </si>
  <si>
    <t>金龙牌XMQ6129HYD4D</t>
    <phoneticPr fontId="2" type="noConversion"/>
  </si>
  <si>
    <t>/</t>
    <phoneticPr fontId="2" type="noConversion"/>
  </si>
  <si>
    <t>2014-3-6(2台车一样）</t>
    <phoneticPr fontId="2" type="noConversion"/>
  </si>
  <si>
    <t>比亚迪C8（仅需报油漆和整车抛光的价格）</t>
    <phoneticPr fontId="2" type="noConversion"/>
  </si>
  <si>
    <t>金龙
（仅需报油漆和整车抛光的价格）</t>
    <phoneticPr fontId="2" type="noConversion"/>
  </si>
  <si>
    <t>考斯特（需求量小，2025年未保养）</t>
    <phoneticPr fontId="2" type="noConversion"/>
  </si>
  <si>
    <t>别克GL8（LSGUL83L9LA266276）</t>
    <phoneticPr fontId="2" type="noConversion"/>
  </si>
  <si>
    <t>别克GL8（LSGUL83L0HA120002）</t>
    <phoneticPr fontId="2" type="noConversion"/>
  </si>
  <si>
    <t>别克GL8（LSGUA8278HE019227）</t>
    <phoneticPr fontId="2" type="noConversion"/>
  </si>
  <si>
    <t>品牌</t>
    <phoneticPr fontId="2" type="noConversion"/>
  </si>
  <si>
    <t>嘉实多级护专享SN 0W-20 1L GM 原装</t>
    <phoneticPr fontId="2" type="noConversion"/>
  </si>
  <si>
    <t>元/L</t>
    <phoneticPr fontId="2" type="noConversion"/>
  </si>
  <si>
    <t>单价</t>
    <phoneticPr fontId="2" type="noConversion"/>
  </si>
  <si>
    <t>发动机油 银美孚1号（5W-30）1L</t>
    <phoneticPr fontId="2" type="noConversion"/>
  </si>
  <si>
    <t>金美孚1号0W-40 1L</t>
    <phoneticPr fontId="2" type="noConversion"/>
  </si>
  <si>
    <t>需求量</t>
    <phoneticPr fontId="2" type="noConversion"/>
  </si>
  <si>
    <t>个</t>
    <phoneticPr fontId="2" type="noConversion"/>
  </si>
  <si>
    <t>元/个</t>
    <phoneticPr fontId="2" type="noConversion"/>
  </si>
  <si>
    <t>（请报价单位填写品牌、型号、规格）</t>
    <phoneticPr fontId="2" type="noConversion"/>
  </si>
  <si>
    <t>瓶</t>
    <phoneticPr fontId="2" type="noConversion"/>
  </si>
  <si>
    <t>元/瓶</t>
    <phoneticPr fontId="2" type="noConversion"/>
  </si>
  <si>
    <t>电瓶（AGM带启停）80AH埃克塞德</t>
    <phoneticPr fontId="2" type="noConversion"/>
  </si>
  <si>
    <t>配件（（含工时费）</t>
    <phoneticPr fontId="2" type="noConversion"/>
  </si>
  <si>
    <t>商务车年度常规保养合计金额（元）</t>
    <phoneticPr fontId="2" type="noConversion"/>
  </si>
  <si>
    <t>老百姓总部位于开福区青竹湖路808号，商务车的数量为3台别克，1台阿尔法，2台考斯特。大巴车的数量为5台比亚迪，2台金龙。</t>
    <phoneticPr fontId="2" type="noConversion"/>
  </si>
  <si>
    <t>备注：以上报价为含税价，开具增值税     （填写专用或者普通）发票，税率为     %。</t>
    <phoneticPr fontId="2" type="noConversion"/>
  </si>
  <si>
    <t>变速箱油</t>
    <phoneticPr fontId="2" type="noConversion"/>
  </si>
  <si>
    <t>火花塞</t>
    <phoneticPr fontId="2" type="noConversion"/>
  </si>
  <si>
    <t>元/个</t>
    <phoneticPr fontId="2" type="noConversion"/>
  </si>
  <si>
    <t>元/支</t>
    <phoneticPr fontId="2" type="noConversion"/>
  </si>
  <si>
    <t>元/付</t>
    <phoneticPr fontId="2" type="noConversion"/>
  </si>
  <si>
    <t>元/套</t>
    <phoneticPr fontId="2" type="noConversion"/>
  </si>
  <si>
    <t>元/条</t>
    <phoneticPr fontId="2" type="noConversion"/>
  </si>
  <si>
    <t>元/L</t>
    <phoneticPr fontId="2" type="noConversion"/>
  </si>
  <si>
    <t>油漆</t>
    <phoneticPr fontId="2" type="noConversion"/>
  </si>
  <si>
    <t>元/面</t>
    <phoneticPr fontId="2" type="noConversion"/>
  </si>
  <si>
    <t>抛光</t>
    <phoneticPr fontId="2" type="noConversion"/>
  </si>
  <si>
    <t>需要上门服务</t>
    <phoneticPr fontId="2" type="noConversion"/>
  </si>
  <si>
    <t>元/车</t>
    <phoneticPr fontId="2" type="noConversion"/>
  </si>
  <si>
    <t>（即将有需求，本页重点关注项目）</t>
    <phoneticPr fontId="2" type="noConversion"/>
  </si>
  <si>
    <t>注意：两张报价单均需要报价，系统上传的总价为本张报价单合计金额。请注意填写所有标黄部分。报价单无需盖章，直接上传表格即可，以系统上传价格为准。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</si>
</sst>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仿宋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u/>
      <sz val="10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仿宋"/>
      <family val="3"/>
      <charset val="134"/>
    </font>
    <font>
      <b/>
      <sz val="10"/>
      <color rgb="FFED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58" fontId="5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14" fontId="7" fillId="3" borderId="14" xfId="0" applyNumberFormat="1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5" fillId="3" borderId="15" xfId="0" applyFont="1" applyFill="1" applyBorder="1"/>
    <xf numFmtId="0" fontId="5" fillId="3" borderId="1" xfId="0" applyFont="1" applyFill="1" applyBorder="1"/>
    <xf numFmtId="0" fontId="5" fillId="3" borderId="12" xfId="0" applyFont="1" applyFill="1" applyBorder="1"/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7" fillId="2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8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2" borderId="18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1ACC-6047-4B65-91F1-D5F9E13552DF}">
  <dimension ref="B2:K37"/>
  <sheetViews>
    <sheetView workbookViewId="0">
      <selection activeCell="L7" sqref="L7"/>
    </sheetView>
  </sheetViews>
  <sheetFormatPr defaultRowHeight="13" x14ac:dyDescent="0.3"/>
  <cols>
    <col min="1" max="1" width="8.6640625" style="4"/>
    <col min="2" max="2" width="5" style="4" bestFit="1" customWidth="1"/>
    <col min="3" max="3" width="9.75" style="4" customWidth="1"/>
    <col min="4" max="4" width="8.6640625" style="4"/>
    <col min="5" max="5" width="11.25" style="4" bestFit="1" customWidth="1"/>
    <col min="6" max="6" width="5" style="4" bestFit="1" customWidth="1"/>
    <col min="7" max="7" width="12.33203125" style="4" bestFit="1" customWidth="1"/>
    <col min="8" max="9" width="12.33203125" style="4" customWidth="1"/>
    <col min="10" max="10" width="8.6640625" style="4"/>
    <col min="11" max="11" width="11.25" style="4" bestFit="1" customWidth="1"/>
    <col min="12" max="16384" width="8.6640625" style="4"/>
  </cols>
  <sheetData>
    <row r="2" spans="2:11" ht="18" thickBot="1" x14ac:dyDescent="0.35">
      <c r="B2" s="47" t="s">
        <v>31</v>
      </c>
      <c r="C2" s="47"/>
      <c r="D2" s="47"/>
      <c r="E2" s="47"/>
      <c r="F2" s="47"/>
      <c r="G2" s="47"/>
      <c r="H2" s="47"/>
      <c r="I2" s="47"/>
      <c r="J2" s="47"/>
      <c r="K2" s="47"/>
    </row>
    <row r="3" spans="2:11" ht="13.5" x14ac:dyDescent="0.3">
      <c r="B3" s="48" t="s">
        <v>32</v>
      </c>
      <c r="C3" s="49"/>
      <c r="D3" s="49"/>
      <c r="E3" s="49"/>
      <c r="F3" s="49"/>
      <c r="G3" s="49"/>
      <c r="H3" s="49"/>
      <c r="I3" s="49"/>
      <c r="J3" s="49"/>
      <c r="K3" s="50"/>
    </row>
    <row r="4" spans="2:11" ht="13.5" x14ac:dyDescent="0.3">
      <c r="B4" s="42" t="s">
        <v>34</v>
      </c>
      <c r="C4" s="35"/>
      <c r="D4" s="35"/>
      <c r="E4" s="35"/>
      <c r="F4" s="35"/>
      <c r="G4" s="35"/>
      <c r="H4" s="35"/>
      <c r="I4" s="35"/>
      <c r="J4" s="35"/>
      <c r="K4" s="43"/>
    </row>
    <row r="5" spans="2:11" x14ac:dyDescent="0.3">
      <c r="B5" s="39" t="s">
        <v>36</v>
      </c>
      <c r="C5" s="40"/>
      <c r="D5" s="40"/>
      <c r="E5" s="40"/>
      <c r="F5" s="40"/>
      <c r="G5" s="40"/>
      <c r="H5" s="40"/>
      <c r="I5" s="40"/>
      <c r="J5" s="40"/>
      <c r="K5" s="41"/>
    </row>
    <row r="6" spans="2:11" ht="13.5" x14ac:dyDescent="0.3">
      <c r="B6" s="42" t="s">
        <v>33</v>
      </c>
      <c r="C6" s="35"/>
      <c r="D6" s="35"/>
      <c r="E6" s="35"/>
      <c r="F6" s="35"/>
      <c r="G6" s="35"/>
      <c r="H6" s="35"/>
      <c r="I6" s="35"/>
      <c r="J6" s="35"/>
      <c r="K6" s="43"/>
    </row>
    <row r="7" spans="2:11" ht="35.5" customHeight="1" x14ac:dyDescent="0.3">
      <c r="B7" s="32" t="s">
        <v>99</v>
      </c>
      <c r="C7" s="33"/>
      <c r="D7" s="33"/>
      <c r="E7" s="33"/>
      <c r="F7" s="33"/>
      <c r="G7" s="33"/>
      <c r="H7" s="33"/>
      <c r="I7" s="33"/>
      <c r="J7" s="33"/>
      <c r="K7" s="34"/>
    </row>
    <row r="8" spans="2:11" x14ac:dyDescent="0.3">
      <c r="B8" s="44" t="s">
        <v>83</v>
      </c>
      <c r="C8" s="45"/>
      <c r="D8" s="45"/>
      <c r="E8" s="45"/>
      <c r="F8" s="45"/>
      <c r="G8" s="45"/>
      <c r="H8" s="45"/>
      <c r="I8" s="45"/>
      <c r="J8" s="45"/>
      <c r="K8" s="46"/>
    </row>
    <row r="9" spans="2:11" x14ac:dyDescent="0.3">
      <c r="B9" s="44" t="s">
        <v>39</v>
      </c>
      <c r="C9" s="45"/>
      <c r="D9" s="45"/>
      <c r="E9" s="45"/>
      <c r="F9" s="45"/>
      <c r="G9" s="45"/>
      <c r="H9" s="45"/>
      <c r="I9" s="45"/>
      <c r="J9" s="45"/>
      <c r="K9" s="46"/>
    </row>
    <row r="10" spans="2:11" ht="26" x14ac:dyDescent="0.3">
      <c r="B10" s="11" t="s">
        <v>42</v>
      </c>
      <c r="C10" s="12" t="s">
        <v>37</v>
      </c>
      <c r="D10" s="12" t="s">
        <v>40</v>
      </c>
      <c r="E10" s="12" t="s">
        <v>41</v>
      </c>
      <c r="F10" s="12" t="s">
        <v>42</v>
      </c>
      <c r="G10" s="12" t="s">
        <v>37</v>
      </c>
      <c r="H10" s="12" t="s">
        <v>40</v>
      </c>
      <c r="I10" s="12" t="s">
        <v>41</v>
      </c>
      <c r="J10" s="12"/>
      <c r="K10" s="13"/>
    </row>
    <row r="11" spans="2:11" ht="26" x14ac:dyDescent="0.3">
      <c r="B11" s="11">
        <v>1</v>
      </c>
      <c r="C11" s="12" t="s">
        <v>38</v>
      </c>
      <c r="D11" s="12" t="s">
        <v>43</v>
      </c>
      <c r="E11" s="14">
        <v>44265</v>
      </c>
      <c r="F11" s="12">
        <v>5</v>
      </c>
      <c r="G11" s="12" t="s">
        <v>51</v>
      </c>
      <c r="H11" s="12" t="s">
        <v>50</v>
      </c>
      <c r="I11" s="14">
        <v>45166</v>
      </c>
      <c r="J11" s="12"/>
      <c r="K11" s="13"/>
    </row>
    <row r="12" spans="2:11" ht="26" x14ac:dyDescent="0.3">
      <c r="B12" s="11">
        <v>2</v>
      </c>
      <c r="C12" s="12" t="s">
        <v>44</v>
      </c>
      <c r="D12" s="12" t="s">
        <v>45</v>
      </c>
      <c r="E12" s="14">
        <v>42979</v>
      </c>
      <c r="F12" s="12">
        <v>6</v>
      </c>
      <c r="G12" s="12" t="s">
        <v>52</v>
      </c>
      <c r="H12" s="12" t="s">
        <v>53</v>
      </c>
      <c r="I12" s="14">
        <v>41704</v>
      </c>
      <c r="J12" s="12"/>
      <c r="K12" s="13"/>
    </row>
    <row r="13" spans="2:11" ht="39" x14ac:dyDescent="0.3">
      <c r="B13" s="11">
        <v>3</v>
      </c>
      <c r="C13" s="12" t="s">
        <v>46</v>
      </c>
      <c r="D13" s="12" t="s">
        <v>47</v>
      </c>
      <c r="E13" s="14">
        <v>42909</v>
      </c>
      <c r="F13" s="15">
        <v>7</v>
      </c>
      <c r="G13" s="12" t="s">
        <v>54</v>
      </c>
      <c r="H13" s="12" t="s">
        <v>55</v>
      </c>
      <c r="I13" s="14" t="s">
        <v>56</v>
      </c>
      <c r="J13" s="21"/>
      <c r="K13" s="22"/>
    </row>
    <row r="14" spans="2:11" ht="39.5" thickBot="1" x14ac:dyDescent="0.35">
      <c r="B14" s="16">
        <v>4</v>
      </c>
      <c r="C14" s="17" t="s">
        <v>48</v>
      </c>
      <c r="D14" s="17" t="s">
        <v>49</v>
      </c>
      <c r="E14" s="18">
        <v>42003</v>
      </c>
      <c r="F14" s="17">
        <v>8</v>
      </c>
      <c r="G14" s="17" t="s">
        <v>59</v>
      </c>
      <c r="H14" s="17" t="s">
        <v>60</v>
      </c>
      <c r="I14" s="17" t="s">
        <v>61</v>
      </c>
      <c r="J14" s="19"/>
      <c r="K14" s="20"/>
    </row>
    <row r="15" spans="2:11" ht="39" x14ac:dyDescent="0.3">
      <c r="B15" s="9" t="s">
        <v>0</v>
      </c>
      <c r="C15" s="9" t="s">
        <v>1</v>
      </c>
      <c r="D15" s="9" t="s">
        <v>2</v>
      </c>
      <c r="E15" s="10" t="s">
        <v>3</v>
      </c>
      <c r="F15" s="10" t="s">
        <v>4</v>
      </c>
      <c r="G15" s="10" t="s">
        <v>65</v>
      </c>
      <c r="H15" s="10" t="s">
        <v>66</v>
      </c>
      <c r="I15" s="10" t="s">
        <v>67</v>
      </c>
      <c r="J15" s="10" t="s">
        <v>35</v>
      </c>
      <c r="K15" s="10" t="s">
        <v>64</v>
      </c>
    </row>
    <row r="16" spans="2:11" x14ac:dyDescent="0.3">
      <c r="B16" s="2">
        <v>1</v>
      </c>
      <c r="C16" s="38" t="s">
        <v>5</v>
      </c>
      <c r="D16" s="36" t="s">
        <v>6</v>
      </c>
      <c r="E16" s="1" t="s">
        <v>7</v>
      </c>
      <c r="F16" s="1" t="s">
        <v>8</v>
      </c>
      <c r="G16" s="1">
        <v>25</v>
      </c>
      <c r="H16" s="1">
        <v>20</v>
      </c>
      <c r="I16" s="1">
        <v>10</v>
      </c>
      <c r="J16" s="1">
        <v>6</v>
      </c>
      <c r="K16" s="1">
        <v>6</v>
      </c>
    </row>
    <row r="17" spans="2:11" ht="39" x14ac:dyDescent="0.3">
      <c r="B17" s="2">
        <v>2</v>
      </c>
      <c r="C17" s="38"/>
      <c r="D17" s="36"/>
      <c r="E17" s="1" t="s">
        <v>68</v>
      </c>
      <c r="F17" s="1" t="s">
        <v>60</v>
      </c>
      <c r="G17" s="1" t="s">
        <v>69</v>
      </c>
      <c r="H17" s="1" t="s">
        <v>72</v>
      </c>
      <c r="I17" s="1" t="s">
        <v>73</v>
      </c>
      <c r="J17" s="1" t="s">
        <v>73</v>
      </c>
      <c r="K17" s="1"/>
    </row>
    <row r="18" spans="2:11" x14ac:dyDescent="0.3">
      <c r="B18" s="2">
        <v>3</v>
      </c>
      <c r="C18" s="38"/>
      <c r="D18" s="36"/>
      <c r="E18" s="1" t="s">
        <v>71</v>
      </c>
      <c r="F18" s="1" t="s">
        <v>70</v>
      </c>
      <c r="G18" s="3"/>
      <c r="H18" s="3"/>
      <c r="I18" s="3"/>
      <c r="J18" s="3"/>
      <c r="K18" s="3"/>
    </row>
    <row r="19" spans="2:11" x14ac:dyDescent="0.3">
      <c r="B19" s="2">
        <v>4</v>
      </c>
      <c r="C19" s="38"/>
      <c r="D19" s="36"/>
      <c r="E19" s="36" t="s">
        <v>58</v>
      </c>
      <c r="F19" s="36"/>
      <c r="G19" s="3">
        <f>G18*G16</f>
        <v>0</v>
      </c>
      <c r="H19" s="3">
        <f>H16*H18</f>
        <v>0</v>
      </c>
      <c r="I19" s="3">
        <f>I16*I18</f>
        <v>0</v>
      </c>
      <c r="J19" s="3">
        <f>J16*J18</f>
        <v>0</v>
      </c>
      <c r="K19" s="3">
        <f>K16*K18</f>
        <v>0</v>
      </c>
    </row>
    <row r="20" spans="2:11" x14ac:dyDescent="0.3">
      <c r="B20" s="2">
        <v>5</v>
      </c>
      <c r="C20" s="38"/>
      <c r="D20" s="36" t="s">
        <v>9</v>
      </c>
      <c r="E20" s="1" t="s">
        <v>74</v>
      </c>
      <c r="F20" s="1" t="s">
        <v>75</v>
      </c>
      <c r="G20" s="1">
        <v>5</v>
      </c>
      <c r="H20" s="1">
        <v>5</v>
      </c>
      <c r="I20" s="1">
        <v>2</v>
      </c>
      <c r="J20" s="1">
        <v>1</v>
      </c>
      <c r="K20" s="1">
        <v>1</v>
      </c>
    </row>
    <row r="21" spans="2:11" x14ac:dyDescent="0.3">
      <c r="B21" s="2">
        <v>6</v>
      </c>
      <c r="C21" s="38"/>
      <c r="D21" s="36"/>
      <c r="E21" s="1" t="s">
        <v>10</v>
      </c>
      <c r="F21" s="1" t="s">
        <v>76</v>
      </c>
      <c r="G21" s="3"/>
      <c r="H21" s="3"/>
      <c r="I21" s="3"/>
      <c r="J21" s="3"/>
      <c r="K21" s="3"/>
    </row>
    <row r="22" spans="2:11" x14ac:dyDescent="0.3">
      <c r="B22" s="2">
        <v>7</v>
      </c>
      <c r="C22" s="38"/>
      <c r="D22" s="36"/>
      <c r="E22" s="36" t="s">
        <v>58</v>
      </c>
      <c r="F22" s="36"/>
      <c r="G22" s="3">
        <f>G20*G21</f>
        <v>0</v>
      </c>
      <c r="H22" s="3">
        <f>H20*H21</f>
        <v>0</v>
      </c>
      <c r="I22" s="3">
        <f>I20*I21</f>
        <v>0</v>
      </c>
      <c r="J22" s="3">
        <f>J20*J21</f>
        <v>0</v>
      </c>
      <c r="K22" s="3">
        <f>K20*K21</f>
        <v>0</v>
      </c>
    </row>
    <row r="23" spans="2:11" x14ac:dyDescent="0.3">
      <c r="B23" s="2">
        <v>8</v>
      </c>
      <c r="C23" s="38"/>
      <c r="D23" s="36" t="s">
        <v>11</v>
      </c>
      <c r="E23" s="1" t="s">
        <v>74</v>
      </c>
      <c r="F23" s="1" t="s">
        <v>75</v>
      </c>
      <c r="G23" s="1">
        <v>2</v>
      </c>
      <c r="H23" s="1">
        <v>2</v>
      </c>
      <c r="I23" s="1">
        <v>2</v>
      </c>
      <c r="J23" s="1">
        <v>1</v>
      </c>
      <c r="K23" s="1">
        <v>1</v>
      </c>
    </row>
    <row r="24" spans="2:11" x14ac:dyDescent="0.3">
      <c r="B24" s="2">
        <v>9</v>
      </c>
      <c r="C24" s="38"/>
      <c r="D24" s="36"/>
      <c r="E24" s="1" t="s">
        <v>10</v>
      </c>
      <c r="F24" s="1" t="s">
        <v>76</v>
      </c>
      <c r="G24" s="3"/>
      <c r="H24" s="3"/>
      <c r="I24" s="3"/>
      <c r="J24" s="3"/>
      <c r="K24" s="8"/>
    </row>
    <row r="25" spans="2:11" x14ac:dyDescent="0.3">
      <c r="B25" s="2">
        <v>10</v>
      </c>
      <c r="C25" s="38"/>
      <c r="D25" s="36"/>
      <c r="E25" s="36" t="s">
        <v>58</v>
      </c>
      <c r="F25" s="36"/>
      <c r="G25" s="3">
        <f>G23*G24</f>
        <v>0</v>
      </c>
      <c r="H25" s="3">
        <f>H23*H24</f>
        <v>0</v>
      </c>
      <c r="I25" s="3">
        <f>I23*I24</f>
        <v>0</v>
      </c>
      <c r="J25" s="3">
        <f>J23*J24</f>
        <v>0</v>
      </c>
      <c r="K25" s="3">
        <f>K23*K24</f>
        <v>0</v>
      </c>
    </row>
    <row r="26" spans="2:11" x14ac:dyDescent="0.3">
      <c r="B26" s="2">
        <v>11</v>
      </c>
      <c r="C26" s="38"/>
      <c r="D26" s="36" t="s">
        <v>12</v>
      </c>
      <c r="E26" s="1" t="s">
        <v>74</v>
      </c>
      <c r="F26" s="1" t="s">
        <v>75</v>
      </c>
      <c r="G26" s="1">
        <v>2</v>
      </c>
      <c r="H26" s="1">
        <v>2</v>
      </c>
      <c r="I26" s="1">
        <v>2</v>
      </c>
      <c r="J26" s="1">
        <v>1</v>
      </c>
      <c r="K26" s="7">
        <v>1</v>
      </c>
    </row>
    <row r="27" spans="2:11" x14ac:dyDescent="0.3">
      <c r="B27" s="2">
        <v>12</v>
      </c>
      <c r="C27" s="38"/>
      <c r="D27" s="36"/>
      <c r="E27" s="1" t="s">
        <v>10</v>
      </c>
      <c r="F27" s="1" t="s">
        <v>76</v>
      </c>
      <c r="G27" s="3"/>
      <c r="H27" s="3"/>
      <c r="I27" s="3"/>
      <c r="J27" s="3"/>
      <c r="K27" s="3"/>
    </row>
    <row r="28" spans="2:11" x14ac:dyDescent="0.3">
      <c r="B28" s="2">
        <v>13</v>
      </c>
      <c r="C28" s="38"/>
      <c r="D28" s="36"/>
      <c r="E28" s="36" t="s">
        <v>58</v>
      </c>
      <c r="F28" s="36"/>
      <c r="G28" s="3">
        <f>G26*G27</f>
        <v>0</v>
      </c>
      <c r="H28" s="3">
        <f>H26*H27</f>
        <v>0</v>
      </c>
      <c r="I28" s="3">
        <f>I26*I27</f>
        <v>0</v>
      </c>
      <c r="J28" s="3">
        <f>J26*J27</f>
        <v>0</v>
      </c>
      <c r="K28" s="3">
        <f>K26*K27</f>
        <v>0</v>
      </c>
    </row>
    <row r="29" spans="2:11" x14ac:dyDescent="0.3">
      <c r="B29" s="2">
        <v>14</v>
      </c>
      <c r="C29" s="38"/>
      <c r="D29" s="36" t="s">
        <v>13</v>
      </c>
      <c r="E29" s="1" t="s">
        <v>74</v>
      </c>
      <c r="F29" s="1" t="s">
        <v>78</v>
      </c>
      <c r="G29" s="1">
        <v>5</v>
      </c>
      <c r="H29" s="1">
        <v>5</v>
      </c>
      <c r="I29" s="1">
        <v>1</v>
      </c>
      <c r="J29" s="1">
        <v>1</v>
      </c>
      <c r="K29" s="1">
        <v>1</v>
      </c>
    </row>
    <row r="30" spans="2:11" ht="39" x14ac:dyDescent="0.3">
      <c r="B30" s="2">
        <v>15</v>
      </c>
      <c r="C30" s="38"/>
      <c r="D30" s="36"/>
      <c r="E30" s="3" t="s">
        <v>77</v>
      </c>
      <c r="F30" s="1" t="s">
        <v>79</v>
      </c>
      <c r="G30" s="3"/>
      <c r="H30" s="3"/>
      <c r="I30" s="3"/>
      <c r="J30" s="3"/>
      <c r="K30" s="3"/>
    </row>
    <row r="31" spans="2:11" x14ac:dyDescent="0.3">
      <c r="B31" s="2">
        <v>16</v>
      </c>
      <c r="C31" s="38"/>
      <c r="D31" s="36"/>
      <c r="E31" s="36" t="s">
        <v>58</v>
      </c>
      <c r="F31" s="36"/>
      <c r="G31" s="3">
        <f>G29*G30</f>
        <v>0</v>
      </c>
      <c r="H31" s="3">
        <f>H29*H30</f>
        <v>0</v>
      </c>
      <c r="I31" s="3">
        <f>I29*I30</f>
        <v>0</v>
      </c>
      <c r="J31" s="3">
        <f>J29*J30</f>
        <v>0</v>
      </c>
      <c r="K31" s="3">
        <f>K29*K30</f>
        <v>0</v>
      </c>
    </row>
    <row r="32" spans="2:11" x14ac:dyDescent="0.3">
      <c r="B32" s="2">
        <v>17</v>
      </c>
      <c r="C32" s="38"/>
      <c r="D32" s="36" t="s">
        <v>14</v>
      </c>
      <c r="E32" s="37" t="s">
        <v>77</v>
      </c>
      <c r="F32" s="1" t="s">
        <v>78</v>
      </c>
      <c r="G32" s="1">
        <v>5</v>
      </c>
      <c r="H32" s="1">
        <v>5</v>
      </c>
      <c r="I32" s="1">
        <v>1</v>
      </c>
      <c r="J32" s="1">
        <v>1</v>
      </c>
      <c r="K32" s="1">
        <v>1</v>
      </c>
    </row>
    <row r="33" spans="2:11" x14ac:dyDescent="0.3">
      <c r="B33" s="2">
        <v>18</v>
      </c>
      <c r="C33" s="38"/>
      <c r="D33" s="36"/>
      <c r="E33" s="37"/>
      <c r="F33" s="1" t="s">
        <v>79</v>
      </c>
      <c r="G33" s="3"/>
      <c r="H33" s="3"/>
      <c r="I33" s="3"/>
      <c r="J33" s="3"/>
      <c r="K33" s="3"/>
    </row>
    <row r="34" spans="2:11" x14ac:dyDescent="0.3">
      <c r="B34" s="2">
        <v>19</v>
      </c>
      <c r="C34" s="38"/>
      <c r="D34" s="36"/>
      <c r="E34" s="36" t="s">
        <v>58</v>
      </c>
      <c r="F34" s="36"/>
      <c r="G34" s="3">
        <f>G32*G33</f>
        <v>0</v>
      </c>
      <c r="H34" s="3">
        <f>H32*H33</f>
        <v>0</v>
      </c>
      <c r="I34" s="3">
        <f>I32*I33</f>
        <v>0</v>
      </c>
      <c r="J34" s="3">
        <f>J32*J33</f>
        <v>0</v>
      </c>
      <c r="K34" s="3">
        <f>K32*K33</f>
        <v>0</v>
      </c>
    </row>
    <row r="35" spans="2:11" ht="26" x14ac:dyDescent="0.3">
      <c r="B35" s="2">
        <v>20</v>
      </c>
      <c r="C35" s="38"/>
      <c r="D35" s="1" t="s">
        <v>15</v>
      </c>
      <c r="E35" s="1" t="s">
        <v>16</v>
      </c>
      <c r="F35" s="1" t="s">
        <v>17</v>
      </c>
      <c r="G35" s="3"/>
      <c r="H35" s="3"/>
      <c r="I35" s="3"/>
      <c r="J35" s="3"/>
      <c r="K35" s="3"/>
    </row>
    <row r="36" spans="2:11" ht="30.5" customHeight="1" x14ac:dyDescent="0.3">
      <c r="B36" s="38" t="s">
        <v>82</v>
      </c>
      <c r="C36" s="38"/>
      <c r="D36" s="38"/>
      <c r="E36" s="38"/>
      <c r="F36" s="38"/>
      <c r="G36" s="38"/>
      <c r="H36" s="38"/>
      <c r="I36" s="38"/>
      <c r="J36" s="38"/>
      <c r="K36" s="3"/>
    </row>
    <row r="37" spans="2:11" ht="22.5" customHeight="1" x14ac:dyDescent="0.3">
      <c r="B37" s="35" t="s">
        <v>84</v>
      </c>
      <c r="C37" s="35"/>
      <c r="D37" s="35"/>
      <c r="E37" s="35"/>
      <c r="F37" s="35"/>
      <c r="G37" s="35"/>
      <c r="H37" s="35"/>
      <c r="I37" s="35"/>
      <c r="J37" s="35"/>
      <c r="K37" s="35"/>
    </row>
  </sheetData>
  <mergeCells count="24">
    <mergeCell ref="B5:K5"/>
    <mergeCell ref="B6:K6"/>
    <mergeCell ref="B9:K9"/>
    <mergeCell ref="B2:K2"/>
    <mergeCell ref="C16:C35"/>
    <mergeCell ref="B8:K8"/>
    <mergeCell ref="B3:K3"/>
    <mergeCell ref="B4:K4"/>
    <mergeCell ref="B7:K7"/>
    <mergeCell ref="B37:K37"/>
    <mergeCell ref="D16:D19"/>
    <mergeCell ref="E19:F19"/>
    <mergeCell ref="E22:F22"/>
    <mergeCell ref="D20:D22"/>
    <mergeCell ref="E25:F25"/>
    <mergeCell ref="D23:D25"/>
    <mergeCell ref="E32:E33"/>
    <mergeCell ref="D26:D28"/>
    <mergeCell ref="E28:F28"/>
    <mergeCell ref="E31:F31"/>
    <mergeCell ref="D29:D31"/>
    <mergeCell ref="D32:D34"/>
    <mergeCell ref="E34:F34"/>
    <mergeCell ref="B36:J36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8492-8637-4E8C-AA98-AE69505161AB}">
  <dimension ref="B1:N22"/>
  <sheetViews>
    <sheetView tabSelected="1" workbookViewId="0">
      <selection activeCell="G20" sqref="G20:K21"/>
    </sheetView>
  </sheetViews>
  <sheetFormatPr defaultRowHeight="14" x14ac:dyDescent="0.3"/>
  <sheetData>
    <row r="1" spans="2:14" x14ac:dyDescent="0.3">
      <c r="B1" s="51" t="s">
        <v>32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</row>
    <row r="2" spans="2:14" x14ac:dyDescent="0.3">
      <c r="B2" s="42" t="s">
        <v>34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43"/>
    </row>
    <row r="3" spans="2:14" ht="14.5" thickBot="1" x14ac:dyDescent="0.35">
      <c r="B3" s="54" t="s">
        <v>33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</row>
    <row r="4" spans="2:14" ht="65" x14ac:dyDescent="0.3">
      <c r="B4" s="23" t="s">
        <v>0</v>
      </c>
      <c r="C4" s="23" t="s">
        <v>1</v>
      </c>
      <c r="D4" s="23" t="s">
        <v>2</v>
      </c>
      <c r="E4" s="24" t="s">
        <v>3</v>
      </c>
      <c r="F4" s="24" t="s">
        <v>4</v>
      </c>
      <c r="G4" s="24" t="s">
        <v>65</v>
      </c>
      <c r="H4" s="24" t="s">
        <v>66</v>
      </c>
      <c r="I4" s="24" t="s">
        <v>67</v>
      </c>
      <c r="J4" s="24" t="s">
        <v>35</v>
      </c>
      <c r="K4" s="24" t="s">
        <v>64</v>
      </c>
      <c r="L4" s="24" t="s">
        <v>62</v>
      </c>
      <c r="M4" s="24" t="s">
        <v>63</v>
      </c>
    </row>
    <row r="5" spans="2:14" s="4" customFormat="1" ht="13" x14ac:dyDescent="0.3">
      <c r="B5" s="25">
        <v>1</v>
      </c>
      <c r="C5" s="60" t="s">
        <v>18</v>
      </c>
      <c r="D5" s="27" t="s">
        <v>85</v>
      </c>
      <c r="E5" s="6" t="s">
        <v>7</v>
      </c>
      <c r="F5" s="6" t="s">
        <v>92</v>
      </c>
      <c r="G5" s="29"/>
      <c r="H5" s="29"/>
      <c r="I5" s="29"/>
      <c r="J5" s="29"/>
      <c r="K5" s="29"/>
      <c r="L5" s="6" t="s">
        <v>55</v>
      </c>
      <c r="M5" s="6" t="s">
        <v>55</v>
      </c>
    </row>
    <row r="6" spans="2:14" s="4" customFormat="1" ht="13" x14ac:dyDescent="0.3">
      <c r="B6" s="25">
        <v>2</v>
      </c>
      <c r="C6" s="60"/>
      <c r="D6" s="6" t="s">
        <v>86</v>
      </c>
      <c r="E6" s="6" t="s">
        <v>7</v>
      </c>
      <c r="F6" s="6" t="s">
        <v>88</v>
      </c>
      <c r="G6" s="29"/>
      <c r="H6" s="29"/>
      <c r="I6" s="29"/>
      <c r="J6" s="29"/>
      <c r="K6" s="29"/>
      <c r="L6" s="6" t="s">
        <v>55</v>
      </c>
      <c r="M6" s="6" t="s">
        <v>55</v>
      </c>
    </row>
    <row r="7" spans="2:14" s="4" customFormat="1" ht="13" x14ac:dyDescent="0.3">
      <c r="B7" s="25">
        <v>3</v>
      </c>
      <c r="C7" s="60"/>
      <c r="D7" s="6" t="s">
        <v>19</v>
      </c>
      <c r="E7" s="6" t="s">
        <v>10</v>
      </c>
      <c r="F7" s="6" t="s">
        <v>92</v>
      </c>
      <c r="G7" s="29"/>
      <c r="H7" s="29"/>
      <c r="I7" s="29"/>
      <c r="J7" s="29"/>
      <c r="K7" s="29"/>
      <c r="L7" s="6" t="s">
        <v>55</v>
      </c>
      <c r="M7" s="6" t="s">
        <v>55</v>
      </c>
    </row>
    <row r="8" spans="2:14" s="4" customFormat="1" ht="13" x14ac:dyDescent="0.3">
      <c r="B8" s="25">
        <v>4</v>
      </c>
      <c r="C8" s="60"/>
      <c r="D8" s="6" t="s">
        <v>20</v>
      </c>
      <c r="E8" s="6" t="s">
        <v>10</v>
      </c>
      <c r="F8" s="6" t="s">
        <v>92</v>
      </c>
      <c r="G8" s="29"/>
      <c r="H8" s="29"/>
      <c r="I8" s="29"/>
      <c r="J8" s="29"/>
      <c r="K8" s="29"/>
      <c r="L8" s="6" t="s">
        <v>55</v>
      </c>
      <c r="M8" s="6" t="s">
        <v>55</v>
      </c>
    </row>
    <row r="9" spans="2:14" s="4" customFormat="1" ht="13" x14ac:dyDescent="0.3">
      <c r="B9" s="25">
        <v>5</v>
      </c>
      <c r="C9" s="60"/>
      <c r="D9" s="6" t="s">
        <v>15</v>
      </c>
      <c r="E9" s="6"/>
      <c r="F9" s="6" t="s">
        <v>17</v>
      </c>
      <c r="G9" s="29"/>
      <c r="H9" s="29"/>
      <c r="I9" s="29"/>
      <c r="J9" s="29"/>
      <c r="K9" s="29"/>
      <c r="L9" s="6" t="s">
        <v>55</v>
      </c>
      <c r="M9" s="6" t="s">
        <v>55</v>
      </c>
    </row>
    <row r="10" spans="2:14" s="4" customFormat="1" ht="26" x14ac:dyDescent="0.3">
      <c r="B10" s="25">
        <v>6</v>
      </c>
      <c r="C10" s="57" t="s">
        <v>81</v>
      </c>
      <c r="D10" s="6" t="s">
        <v>21</v>
      </c>
      <c r="E10" s="6" t="s">
        <v>10</v>
      </c>
      <c r="F10" s="6" t="s">
        <v>91</v>
      </c>
      <c r="G10" s="31"/>
      <c r="H10" s="31"/>
      <c r="I10" s="31"/>
      <c r="J10" s="31"/>
      <c r="K10" s="31"/>
      <c r="L10" s="6" t="s">
        <v>55</v>
      </c>
      <c r="M10" s="6" t="s">
        <v>55</v>
      </c>
    </row>
    <row r="11" spans="2:14" s="4" customFormat="1" ht="13" x14ac:dyDescent="0.3">
      <c r="B11" s="25">
        <v>7</v>
      </c>
      <c r="C11" s="58"/>
      <c r="D11" s="6" t="s">
        <v>22</v>
      </c>
      <c r="E11" s="6" t="s">
        <v>10</v>
      </c>
      <c r="F11" s="6" t="s">
        <v>87</v>
      </c>
      <c r="G11" s="29"/>
      <c r="H11" s="29"/>
      <c r="I11" s="29"/>
      <c r="J11" s="29"/>
      <c r="K11" s="29"/>
      <c r="L11" s="6" t="s">
        <v>55</v>
      </c>
      <c r="M11" s="6" t="s">
        <v>55</v>
      </c>
    </row>
    <row r="12" spans="2:14" s="4" customFormat="1" ht="13" x14ac:dyDescent="0.3">
      <c r="B12" s="25">
        <v>8</v>
      </c>
      <c r="C12" s="58"/>
      <c r="D12" s="6" t="s">
        <v>23</v>
      </c>
      <c r="E12" s="6" t="s">
        <v>10</v>
      </c>
      <c r="F12" s="6" t="s">
        <v>90</v>
      </c>
      <c r="G12" s="29"/>
      <c r="H12" s="29"/>
      <c r="I12" s="29"/>
      <c r="J12" s="29"/>
      <c r="K12" s="29"/>
      <c r="L12" s="6" t="s">
        <v>55</v>
      </c>
      <c r="M12" s="6" t="s">
        <v>55</v>
      </c>
      <c r="N12" s="5"/>
    </row>
    <row r="13" spans="2:14" s="4" customFormat="1" ht="13" x14ac:dyDescent="0.3">
      <c r="B13" s="25">
        <v>9</v>
      </c>
      <c r="C13" s="58"/>
      <c r="D13" s="6" t="s">
        <v>24</v>
      </c>
      <c r="E13" s="6" t="s">
        <v>10</v>
      </c>
      <c r="F13" s="6" t="s">
        <v>90</v>
      </c>
      <c r="G13" s="29"/>
      <c r="H13" s="29"/>
      <c r="I13" s="29"/>
      <c r="J13" s="29"/>
      <c r="K13" s="29"/>
      <c r="L13" s="6" t="s">
        <v>55</v>
      </c>
      <c r="M13" s="6" t="s">
        <v>55</v>
      </c>
    </row>
    <row r="14" spans="2:14" s="4" customFormat="1" ht="13" x14ac:dyDescent="0.3">
      <c r="B14" s="25">
        <v>10</v>
      </c>
      <c r="C14" s="58"/>
      <c r="D14" s="6" t="s">
        <v>25</v>
      </c>
      <c r="E14" s="6" t="s">
        <v>10</v>
      </c>
      <c r="F14" s="6" t="s">
        <v>90</v>
      </c>
      <c r="G14" s="29"/>
      <c r="H14" s="29"/>
      <c r="I14" s="29"/>
      <c r="J14" s="29"/>
      <c r="K14" s="29"/>
      <c r="L14" s="6" t="s">
        <v>55</v>
      </c>
      <c r="M14" s="6" t="s">
        <v>55</v>
      </c>
    </row>
    <row r="15" spans="2:14" s="4" customFormat="1" ht="52" x14ac:dyDescent="0.3">
      <c r="B15" s="25">
        <v>11</v>
      </c>
      <c r="C15" s="58"/>
      <c r="D15" s="6" t="s">
        <v>26</v>
      </c>
      <c r="E15" s="6" t="s">
        <v>10</v>
      </c>
      <c r="F15" s="6" t="s">
        <v>87</v>
      </c>
      <c r="G15" s="29" t="s">
        <v>80</v>
      </c>
      <c r="H15" s="29"/>
      <c r="I15" s="29" t="s">
        <v>80</v>
      </c>
      <c r="J15" s="29"/>
      <c r="K15" s="29"/>
      <c r="L15" s="6" t="s">
        <v>55</v>
      </c>
      <c r="M15" s="6" t="s">
        <v>55</v>
      </c>
      <c r="N15" s="5"/>
    </row>
    <row r="16" spans="2:14" s="4" customFormat="1" ht="13" x14ac:dyDescent="0.3">
      <c r="B16" s="25">
        <v>12</v>
      </c>
      <c r="C16" s="58"/>
      <c r="D16" s="6" t="s">
        <v>27</v>
      </c>
      <c r="E16" s="6" t="s">
        <v>10</v>
      </c>
      <c r="F16" s="6" t="s">
        <v>89</v>
      </c>
      <c r="G16" s="29"/>
      <c r="H16" s="29"/>
      <c r="I16" s="29"/>
      <c r="J16" s="29"/>
      <c r="K16" s="29"/>
      <c r="L16" s="6" t="s">
        <v>55</v>
      </c>
      <c r="M16" s="6" t="s">
        <v>55</v>
      </c>
    </row>
    <row r="17" spans="2:13" s="4" customFormat="1" ht="13.5" thickBot="1" x14ac:dyDescent="0.35">
      <c r="B17" s="25">
        <v>13</v>
      </c>
      <c r="C17" s="58"/>
      <c r="D17" s="6" t="s">
        <v>28</v>
      </c>
      <c r="E17" s="6" t="s">
        <v>10</v>
      </c>
      <c r="F17" s="6" t="s">
        <v>88</v>
      </c>
      <c r="G17" s="29"/>
      <c r="H17" s="29"/>
      <c r="I17" s="29"/>
      <c r="J17" s="29"/>
      <c r="K17" s="29"/>
      <c r="L17" s="6" t="s">
        <v>55</v>
      </c>
      <c r="M17" s="6" t="s">
        <v>55</v>
      </c>
    </row>
    <row r="18" spans="2:13" s="4" customFormat="1" ht="13" x14ac:dyDescent="0.3">
      <c r="B18" s="25">
        <v>14</v>
      </c>
      <c r="C18" s="58"/>
      <c r="D18" s="61" t="s">
        <v>29</v>
      </c>
      <c r="E18" s="6" t="s">
        <v>3</v>
      </c>
      <c r="F18" s="26"/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55</v>
      </c>
      <c r="M18" s="6" t="s">
        <v>55</v>
      </c>
    </row>
    <row r="19" spans="2:13" s="4" customFormat="1" ht="13" x14ac:dyDescent="0.3">
      <c r="B19" s="25">
        <v>15</v>
      </c>
      <c r="C19" s="59"/>
      <c r="D19" s="61"/>
      <c r="E19" s="6" t="s">
        <v>10</v>
      </c>
      <c r="F19" s="6" t="s">
        <v>87</v>
      </c>
      <c r="G19" s="31"/>
      <c r="H19" s="31"/>
      <c r="I19" s="31"/>
      <c r="J19" s="31"/>
      <c r="K19" s="29"/>
      <c r="L19" s="6" t="s">
        <v>55</v>
      </c>
      <c r="M19" s="6" t="s">
        <v>55</v>
      </c>
    </row>
    <row r="20" spans="2:13" s="4" customFormat="1" ht="52" x14ac:dyDescent="0.3">
      <c r="B20" s="25">
        <v>16</v>
      </c>
      <c r="C20" s="28" t="s">
        <v>93</v>
      </c>
      <c r="D20" s="6"/>
      <c r="E20" s="6"/>
      <c r="F20" s="6" t="s">
        <v>94</v>
      </c>
      <c r="G20" s="31"/>
      <c r="H20" s="31"/>
      <c r="I20" s="31"/>
      <c r="J20" s="31"/>
      <c r="K20" s="29"/>
      <c r="L20" s="6" t="s">
        <v>98</v>
      </c>
      <c r="M20" s="6" t="s">
        <v>98</v>
      </c>
    </row>
    <row r="21" spans="2:13" s="4" customFormat="1" ht="52" x14ac:dyDescent="0.3">
      <c r="B21" s="25">
        <v>17</v>
      </c>
      <c r="C21" s="28" t="s">
        <v>95</v>
      </c>
      <c r="D21" s="6"/>
      <c r="E21" s="30" t="s">
        <v>96</v>
      </c>
      <c r="F21" s="6" t="s">
        <v>97</v>
      </c>
      <c r="G21" s="31"/>
      <c r="H21" s="31"/>
      <c r="I21" s="31"/>
      <c r="J21" s="31"/>
      <c r="K21" s="29"/>
      <c r="L21" s="6" t="s">
        <v>98</v>
      </c>
      <c r="M21" s="6" t="s">
        <v>98</v>
      </c>
    </row>
    <row r="22" spans="2:13" s="4" customFormat="1" ht="22" customHeight="1" x14ac:dyDescent="0.3">
      <c r="B22" s="62" t="s">
        <v>57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4"/>
    </row>
  </sheetData>
  <mergeCells count="7">
    <mergeCell ref="B22:M22"/>
    <mergeCell ref="B1:M1"/>
    <mergeCell ref="B2:M2"/>
    <mergeCell ref="B3:M3"/>
    <mergeCell ref="C10:C19"/>
    <mergeCell ref="C5:C9"/>
    <mergeCell ref="D18:D1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01常规保养报价单</vt:lpstr>
      <vt:lpstr>02其他保养报价单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ljw</dc:creator>
  <cp:lastModifiedBy>ljw</cp:lastModifiedBy>
  <cp:lastPrinted>2025-11-25T07:38:50Z</cp:lastPrinted>
  <dcterms:created xsi:type="dcterms:W3CDTF">2015-06-05T18:19:34Z</dcterms:created>
  <dcterms:modified xsi:type="dcterms:W3CDTF">2025-11-25T09:46:32Z</dcterms:modified>
</cp:coreProperties>
</file>